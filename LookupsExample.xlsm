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60" yWindow="150" windowWidth="15315" windowHeight="8190"/>
  </bookViews>
  <sheets>
    <sheet name="Sheet1" sheetId="1" r:id="rId1"/>
    <sheet name="Data" sheetId="2" r:id="rId2"/>
  </sheets>
  <functionGroups builtInGroupCount="17"/>
  <calcPr calcId="145621" iterate="1"/>
</workbook>
</file>

<file path=xl/calcChain.xml><?xml version="1.0" encoding="utf-8"?>
<calcChain xmlns="http://schemas.openxmlformats.org/spreadsheetml/2006/main">
  <c r="A54" i="1" l="1" a="1"/>
  <c r="F27" i="1" a="1"/>
  <c r="A27" i="1" a="1"/>
  <c r="A40" i="1" a="1"/>
  <c r="D13" i="1" a="1"/>
  <c r="A13" i="1" a="1"/>
  <c r="K13" i="1" a="1"/>
  <c r="A54" i="1" l="1"/>
  <c r="A55" i="1"/>
  <c r="A56" i="1"/>
  <c r="A57" i="1"/>
  <c r="A58" i="1"/>
  <c r="A59" i="1"/>
  <c r="A60" i="1"/>
  <c r="A61" i="1"/>
  <c r="A62" i="1"/>
  <c r="A63" i="1"/>
  <c r="A64" i="1"/>
  <c r="B54" i="1"/>
  <c r="B55" i="1"/>
  <c r="B56" i="1"/>
  <c r="B58" i="1"/>
  <c r="B59" i="1"/>
  <c r="B60" i="1"/>
  <c r="B61" i="1"/>
  <c r="B62" i="1"/>
  <c r="B64" i="1"/>
  <c r="C54" i="1"/>
  <c r="C56" i="1"/>
  <c r="C57" i="1"/>
  <c r="C59" i="1"/>
  <c r="C61" i="1"/>
  <c r="C63" i="1"/>
  <c r="B57" i="1"/>
  <c r="B63" i="1"/>
  <c r="C55" i="1"/>
  <c r="C58" i="1"/>
  <c r="C60" i="1"/>
  <c r="C62" i="1"/>
  <c r="C64" i="1"/>
  <c r="D54" i="1"/>
  <c r="D55" i="1"/>
  <c r="D56" i="1"/>
  <c r="D57" i="1"/>
  <c r="D58" i="1"/>
  <c r="D59" i="1"/>
  <c r="D60" i="1"/>
  <c r="D61" i="1"/>
  <c r="D62" i="1"/>
  <c r="D63" i="1"/>
  <c r="D64" i="1"/>
  <c r="F33" i="1"/>
  <c r="F37" i="1"/>
  <c r="G29" i="1"/>
  <c r="G31" i="1"/>
  <c r="G33" i="1"/>
  <c r="G35" i="1"/>
  <c r="G37" i="1"/>
  <c r="H27" i="1"/>
  <c r="H28" i="1"/>
  <c r="H29" i="1"/>
  <c r="H30" i="1"/>
  <c r="H31" i="1"/>
  <c r="H32" i="1"/>
  <c r="H33" i="1"/>
  <c r="H34" i="1"/>
  <c r="H35" i="1"/>
  <c r="H36" i="1"/>
  <c r="H37" i="1"/>
  <c r="I27" i="1"/>
  <c r="I28" i="1"/>
  <c r="I29" i="1"/>
  <c r="I30" i="1"/>
  <c r="I31" i="1"/>
  <c r="I32" i="1"/>
  <c r="I33" i="1"/>
  <c r="I34" i="1"/>
  <c r="I35" i="1"/>
  <c r="I36" i="1"/>
  <c r="I37" i="1"/>
  <c r="F27" i="1"/>
  <c r="F28" i="1"/>
  <c r="F29" i="1"/>
  <c r="F30" i="1"/>
  <c r="F31" i="1"/>
  <c r="F32" i="1"/>
  <c r="F34" i="1"/>
  <c r="F35" i="1"/>
  <c r="F36" i="1"/>
  <c r="G27" i="1"/>
  <c r="G28" i="1"/>
  <c r="G30" i="1"/>
  <c r="G32" i="1"/>
  <c r="G34" i="1"/>
  <c r="G36" i="1"/>
  <c r="A27" i="1"/>
  <c r="A28" i="1"/>
  <c r="A29" i="1"/>
  <c r="A30" i="1"/>
  <c r="A31" i="1"/>
  <c r="A32" i="1"/>
  <c r="A33" i="1"/>
  <c r="A34" i="1"/>
  <c r="A35" i="1"/>
  <c r="A36" i="1"/>
  <c r="A37" i="1"/>
  <c r="B27" i="1"/>
  <c r="B28" i="1"/>
  <c r="B29" i="1"/>
  <c r="B30" i="1"/>
  <c r="B31" i="1"/>
  <c r="B32" i="1"/>
  <c r="B33" i="1"/>
  <c r="B34" i="1"/>
  <c r="B35" i="1"/>
  <c r="B36" i="1"/>
  <c r="B37" i="1"/>
  <c r="C27" i="1"/>
  <c r="C28" i="1"/>
  <c r="C29" i="1"/>
  <c r="C30" i="1"/>
  <c r="C31" i="1"/>
  <c r="C32" i="1"/>
  <c r="C33" i="1"/>
  <c r="C34" i="1"/>
  <c r="C35" i="1"/>
  <c r="C36" i="1"/>
  <c r="C37" i="1"/>
  <c r="D27" i="1"/>
  <c r="D28" i="1"/>
  <c r="D29" i="1"/>
  <c r="D30" i="1"/>
  <c r="D31" i="1"/>
  <c r="D32" i="1"/>
  <c r="D33" i="1"/>
  <c r="D34" i="1"/>
  <c r="D35" i="1"/>
  <c r="D36" i="1"/>
  <c r="D37" i="1"/>
  <c r="A43" i="1"/>
  <c r="A47" i="1"/>
  <c r="A40" i="1"/>
  <c r="A44" i="1"/>
  <c r="A48" i="1"/>
  <c r="A41" i="1"/>
  <c r="A45" i="1"/>
  <c r="A49" i="1"/>
  <c r="A42" i="1"/>
  <c r="A46" i="1"/>
  <c r="A50" i="1"/>
  <c r="D13" i="1"/>
  <c r="D17" i="1"/>
  <c r="D21" i="1"/>
  <c r="D14" i="1"/>
  <c r="D18" i="1"/>
  <c r="D22" i="1"/>
  <c r="D15" i="1"/>
  <c r="D19" i="1"/>
  <c r="D23" i="1"/>
  <c r="D16" i="1"/>
  <c r="D20" i="1"/>
  <c r="A16" i="1"/>
  <c r="A13" i="1"/>
  <c r="A17" i="1"/>
  <c r="A21" i="1"/>
  <c r="A14" i="1"/>
  <c r="A18" i="1"/>
  <c r="A22" i="1"/>
  <c r="A15" i="1"/>
  <c r="A19" i="1"/>
  <c r="A23" i="1"/>
  <c r="A20" i="1"/>
  <c r="K13" i="1"/>
  <c r="K17" i="1"/>
  <c r="K21" i="1"/>
  <c r="K14" i="1"/>
  <c r="K18" i="1"/>
  <c r="K22" i="1"/>
  <c r="K15" i="1"/>
  <c r="K19" i="1"/>
  <c r="K23" i="1"/>
  <c r="K16" i="1"/>
  <c r="K20" i="1"/>
</calcChain>
</file>

<file path=xl/sharedStrings.xml><?xml version="1.0" encoding="utf-8"?>
<sst xmlns="http://schemas.openxmlformats.org/spreadsheetml/2006/main" count="172" uniqueCount="19">
  <si>
    <t>Ticket number</t>
  </si>
  <si>
    <t>State</t>
  </si>
  <si>
    <t>City</t>
  </si>
  <si>
    <t>Ticket Age</t>
  </si>
  <si>
    <t>New York</t>
  </si>
  <si>
    <t>Albany</t>
  </si>
  <si>
    <t>Buffalo</t>
  </si>
  <si>
    <t>Nevada</t>
  </si>
  <si>
    <t>Las Vegas</t>
  </si>
  <si>
    <t>Filter for</t>
  </si>
  <si>
    <t xml:space="preserve"> </t>
  </si>
  <si>
    <t>Ticket Number</t>
  </si>
  <si>
    <t>MultiLookup() unique but unsorted (notice 10009 comes before 10008)</t>
  </si>
  <si>
    <t>MultiLookup() unique and sorted</t>
  </si>
  <si>
    <t>MultiLookup() not unique and unsorted (notice the 10001 duplicate)</t>
  </si>
  <si>
    <t>TableLookup() unique</t>
  </si>
  <si>
    <t>TableLookup() not unique</t>
  </si>
  <si>
    <t>MultiLookup() with entire data living in a separate sheet (called Data, in this case)</t>
  </si>
  <si>
    <t>TableLookup() with entire data living in a separate sheet (called Data, in this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</si>
</sst>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(&quot;$&quot;* #,##0_);_(&quot;$&quot;* \(#,##0\);_(&quot;$&quot;* &quot;-&quot;_);_(@_)"/>
    <numFmt numFmtId="41" formatCode="_(* #,##0_);_(* \(#,##0\);_(* &quot;-&quot;_);_(@_)"/>
    <numFmt numFmtId="164" formatCode="_(&quot;$&quot;#,##0_);\(&quot;$&quot;#,##0\);_(\-_);_(@_)"/>
    <numFmt numFmtId="165" formatCode="_(#,##0_);\(#,##0\);_(\-_);_(@_)"/>
    <numFmt numFmtId="166" formatCode="_(0%_);\(0%\);_(\-_);_(@_)"/>
  </numFmts>
  <fonts count="22" x14ac:knownFonts="1">
    <font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rgb="FF0000FF"/>
      <name val="Arial"/>
      <family val="2"/>
      <scheme val="minor"/>
    </font>
    <font>
      <sz val="10"/>
      <color rgb="FF0000FF"/>
      <name val="Arial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rgb="FFEAEAEA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7">
    <xf numFmtId="0" fontId="0" fillId="0" borderId="0">
      <alignment vertical="center"/>
    </xf>
    <xf numFmtId="165" fontId="18" fillId="0" borderId="0" applyFont="0" applyFill="0" applyBorder="0" applyAlignment="0" applyProtection="0"/>
    <xf numFmtId="41" fontId="1" fillId="0" borderId="0" applyFont="0" applyFill="0" applyBorder="0" applyAlignment="0" applyProtection="0"/>
    <xf numFmtId="164" fontId="18" fillId="0" borderId="0" applyFont="0" applyFill="0" applyBorder="0" applyAlignment="0" applyProtection="0"/>
    <xf numFmtId="42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>
      <alignment vertical="center"/>
    </xf>
    <xf numFmtId="0" fontId="19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33" borderId="11" xfId="0" applyFont="1" applyFill="1" applyBorder="1">
      <alignment vertical="center"/>
    </xf>
    <xf numFmtId="0" fontId="21" fillId="33" borderId="10" xfId="0" applyFont="1" applyFill="1" applyBorder="1">
      <alignment vertical="center"/>
    </xf>
    <xf numFmtId="0" fontId="0" fillId="34" borderId="10" xfId="0" quotePrefix="1" applyFill="1" applyBorder="1" applyAlignment="1">
      <alignment horizontal="center" vertical="center"/>
    </xf>
    <xf numFmtId="0" fontId="0" fillId="34" borderId="10" xfId="0" quotePrefix="1" applyFill="1" applyBorder="1">
      <alignment vertical="center"/>
    </xf>
    <xf numFmtId="0" fontId="20" fillId="33" borderId="0" xfId="0" applyFont="1" applyFill="1">
      <alignment vertical="center"/>
    </xf>
    <xf numFmtId="0" fontId="0" fillId="0" borderId="0" xfId="0" quotePrefix="1">
      <alignment vertical="center"/>
    </xf>
  </cellXfs>
  <cellStyles count="47"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Bad" xfId="12" builtinId="27" hidden="1"/>
    <cellStyle name="Calculation" xfId="16" builtinId="22" hidden="1"/>
    <cellStyle name="Check Cell" xfId="18" builtinId="23" hidden="1"/>
    <cellStyle name="Comma" xfId="1" builtinId="3" customBuiltin="1"/>
    <cellStyle name="Comma [0]" xfId="2" builtinId="6" hidden="1"/>
    <cellStyle name="Currency" xfId="3" builtinId="4" customBuiltin="1"/>
    <cellStyle name="Currency [0]" xfId="4" builtinId="7" hidden="1"/>
    <cellStyle name="Explanatory Text" xfId="21" builtinId="53" hidden="1"/>
    <cellStyle name="Good" xfId="11" builtinId="26" hidden="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Input" xfId="14" builtinId="20" hidden="1"/>
    <cellStyle name="Linked Cell" xfId="17" builtinId="24" hidden="1"/>
    <cellStyle name="Neutral" xfId="13" builtinId="28" hidden="1"/>
    <cellStyle name="Normal" xfId="0" builtinId="0" customBuiltin="1"/>
    <cellStyle name="Note" xfId="20" builtinId="10" hidden="1"/>
    <cellStyle name="Output" xfId="15" builtinId="21" hidden="1"/>
    <cellStyle name="Percent" xfId="5" builtinId="5" customBuiltin="1"/>
    <cellStyle name="Title" xfId="6" builtinId="15" hidden="1"/>
    <cellStyle name="Total" xfId="22" builtinId="25" hidden="1"/>
    <cellStyle name="Warning Text" xfId="19" builtinId="11" hidden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Evercore">
      <a:dk1>
        <a:srgbClr val="000000"/>
      </a:dk1>
      <a:lt1>
        <a:srgbClr val="FFFFFF"/>
      </a:lt1>
      <a:dk2>
        <a:srgbClr val="6A97D4"/>
      </a:dk2>
      <a:lt2>
        <a:srgbClr val="264D82"/>
      </a:lt2>
      <a:accent1>
        <a:srgbClr val="EB8521"/>
      </a:accent1>
      <a:accent2>
        <a:srgbClr val="008600"/>
      </a:accent2>
      <a:accent3>
        <a:srgbClr val="FACA00"/>
      </a:accent3>
      <a:accent4>
        <a:srgbClr val="C10202"/>
      </a:accent4>
      <a:accent5>
        <a:srgbClr val="646464"/>
      </a:accent5>
      <a:accent6>
        <a:srgbClr val="0069AA"/>
      </a:accent6>
      <a:hlink>
        <a:srgbClr val="0000FF"/>
      </a:hlink>
      <a:folHlink>
        <a:srgbClr val="800080"/>
      </a:folHlink>
    </a:clrScheme>
    <a:fontScheme name="Evercore Aria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4"/>
  <sheetViews>
    <sheetView showGridLines="0" tabSelected="1" zoomScale="80" zoomScaleNormal="80" workbookViewId="0"/>
  </sheetViews>
  <sheetFormatPr defaultColWidth="10.7109375" defaultRowHeight="12.75" x14ac:dyDescent="0.2"/>
  <cols>
    <col min="1" max="4" width="15.85546875" customWidth="1"/>
    <col min="6" max="9" width="15.85546875" customWidth="1"/>
  </cols>
  <sheetData>
    <row r="1" spans="1:11" x14ac:dyDescent="0.2">
      <c r="A1" s="1" t="s">
        <v>0</v>
      </c>
      <c r="B1" s="1" t="s">
        <v>1</v>
      </c>
      <c r="C1" s="1" t="s">
        <v>2</v>
      </c>
      <c r="D1" s="1" t="s">
        <v>3</v>
      </c>
      <c r="F1" s="1" t="s">
        <v>9</v>
      </c>
    </row>
    <row r="2" spans="1:11" x14ac:dyDescent="0.2">
      <c r="A2" s="2">
        <v>10001</v>
      </c>
      <c r="B2" t="s">
        <v>4</v>
      </c>
      <c r="C2" t="s">
        <v>5</v>
      </c>
      <c r="D2">
        <v>4</v>
      </c>
      <c r="F2" s="7" t="s">
        <v>1</v>
      </c>
      <c r="G2" s="3" t="s">
        <v>4</v>
      </c>
    </row>
    <row r="3" spans="1:11" x14ac:dyDescent="0.2">
      <c r="A3" s="2">
        <v>10009</v>
      </c>
      <c r="B3" t="s">
        <v>4</v>
      </c>
      <c r="C3" t="s">
        <v>6</v>
      </c>
      <c r="D3">
        <v>10</v>
      </c>
      <c r="F3" s="7" t="s">
        <v>2</v>
      </c>
      <c r="G3" s="4"/>
    </row>
    <row r="4" spans="1:11" x14ac:dyDescent="0.2">
      <c r="A4" s="2">
        <v>10008</v>
      </c>
      <c r="B4" t="s">
        <v>4</v>
      </c>
      <c r="C4" t="s">
        <v>5</v>
      </c>
      <c r="D4">
        <v>15</v>
      </c>
      <c r="F4" s="7" t="s">
        <v>0</v>
      </c>
      <c r="G4" s="4"/>
    </row>
    <row r="5" spans="1:11" x14ac:dyDescent="0.2">
      <c r="A5" s="2">
        <v>10010</v>
      </c>
      <c r="B5" t="s">
        <v>4</v>
      </c>
      <c r="C5" t="s">
        <v>5</v>
      </c>
      <c r="D5">
        <v>32</v>
      </c>
    </row>
    <row r="6" spans="1:11" x14ac:dyDescent="0.2">
      <c r="A6" s="2">
        <v>10005</v>
      </c>
      <c r="B6" t="s">
        <v>7</v>
      </c>
      <c r="C6" t="s">
        <v>8</v>
      </c>
      <c r="D6">
        <v>23</v>
      </c>
    </row>
    <row r="7" spans="1:11" x14ac:dyDescent="0.2">
      <c r="A7" s="2">
        <v>10007</v>
      </c>
      <c r="B7" t="s">
        <v>4</v>
      </c>
      <c r="C7" t="s">
        <v>6</v>
      </c>
      <c r="D7">
        <v>2</v>
      </c>
    </row>
    <row r="8" spans="1:11" x14ac:dyDescent="0.2">
      <c r="A8" s="2">
        <v>10002</v>
      </c>
      <c r="B8" t="s">
        <v>7</v>
      </c>
      <c r="C8" t="s">
        <v>8</v>
      </c>
      <c r="D8">
        <v>2</v>
      </c>
    </row>
    <row r="9" spans="1:11" x14ac:dyDescent="0.2">
      <c r="A9" s="2">
        <v>10001</v>
      </c>
      <c r="B9" t="s">
        <v>4</v>
      </c>
      <c r="C9" t="s">
        <v>5</v>
      </c>
      <c r="D9">
        <v>42</v>
      </c>
    </row>
    <row r="10" spans="1:11" x14ac:dyDescent="0.2">
      <c r="A10" s="2">
        <v>10003</v>
      </c>
      <c r="B10" t="s">
        <v>4</v>
      </c>
      <c r="C10" t="s">
        <v>6</v>
      </c>
      <c r="D10">
        <v>12</v>
      </c>
    </row>
    <row r="12" spans="1:11" x14ac:dyDescent="0.2">
      <c r="A12" s="1" t="s">
        <v>13</v>
      </c>
      <c r="D12" s="1" t="s">
        <v>12</v>
      </c>
      <c r="K12" s="1" t="s">
        <v>14</v>
      </c>
    </row>
    <row r="13" spans="1:11" x14ac:dyDescent="0.2">
      <c r="A13" s="5" t="str">
        <f t="array" ref="A13:A23">MultiLookup($A$1:$D$10,$A$1,TRUE,TRUE,$F$2,$G$2,$F$3,$G$3,$F$4,$G$4)</f>
        <v>10001</v>
      </c>
      <c r="B13" t="s">
        <v>10</v>
      </c>
      <c r="C13" t="s">
        <v>10</v>
      </c>
      <c r="D13" s="5" t="str">
        <f t="array" ref="D13:D23">MultiLookup($A$1:$D$10,$A$1,TRUE,FALSE,$F$2,$G$2,$F$3,$G$3,$F$4,$G$4)</f>
        <v>10001</v>
      </c>
      <c r="E13" t="s">
        <v>10</v>
      </c>
      <c r="F13" t="s">
        <v>10</v>
      </c>
      <c r="H13" t="s">
        <v>10</v>
      </c>
      <c r="I13" t="s">
        <v>10</v>
      </c>
      <c r="K13" s="5" t="str">
        <f t="array" ref="K13:K23">MultiLookup($A$1:$D$10,$A$1,FALSE,FALSE,$F$2,$G$2,$F$3,$G$3,$F$4,$G$4)</f>
        <v>10001</v>
      </c>
    </row>
    <row r="14" spans="1:11" x14ac:dyDescent="0.2">
      <c r="A14" s="5" t="str">
        <v>10003</v>
      </c>
      <c r="B14" t="s">
        <v>10</v>
      </c>
      <c r="C14" t="s">
        <v>10</v>
      </c>
      <c r="D14" s="5" t="str">
        <v>10009</v>
      </c>
      <c r="E14" t="s">
        <v>10</v>
      </c>
      <c r="F14" t="s">
        <v>10</v>
      </c>
      <c r="H14" t="s">
        <v>10</v>
      </c>
      <c r="I14" t="s">
        <v>10</v>
      </c>
      <c r="K14" s="5" t="str">
        <v>10009</v>
      </c>
    </row>
    <row r="15" spans="1:11" x14ac:dyDescent="0.2">
      <c r="A15" s="5" t="str">
        <v>10007</v>
      </c>
      <c r="B15" t="s">
        <v>10</v>
      </c>
      <c r="C15" t="s">
        <v>10</v>
      </c>
      <c r="D15" s="5" t="str">
        <v>10008</v>
      </c>
      <c r="E15" t="s">
        <v>10</v>
      </c>
      <c r="F15" t="s">
        <v>10</v>
      </c>
      <c r="H15" t="s">
        <v>10</v>
      </c>
      <c r="I15" t="s">
        <v>10</v>
      </c>
      <c r="K15" s="5" t="str">
        <v>10008</v>
      </c>
    </row>
    <row r="16" spans="1:11" x14ac:dyDescent="0.2">
      <c r="A16" s="5" t="str">
        <v>10008</v>
      </c>
      <c r="B16" t="s">
        <v>10</v>
      </c>
      <c r="C16" t="s">
        <v>10</v>
      </c>
      <c r="D16" s="5" t="str">
        <v>10010</v>
      </c>
      <c r="E16" t="s">
        <v>10</v>
      </c>
      <c r="F16" t="s">
        <v>10</v>
      </c>
      <c r="H16" t="s">
        <v>10</v>
      </c>
      <c r="I16" t="s">
        <v>10</v>
      </c>
      <c r="K16" s="5" t="str">
        <v>10010</v>
      </c>
    </row>
    <row r="17" spans="1:11" x14ac:dyDescent="0.2">
      <c r="A17" s="5" t="str">
        <v>10009</v>
      </c>
      <c r="B17" t="s">
        <v>10</v>
      </c>
      <c r="C17" t="s">
        <v>10</v>
      </c>
      <c r="D17" s="5" t="str">
        <v>10007</v>
      </c>
      <c r="E17" t="s">
        <v>10</v>
      </c>
      <c r="F17" t="s">
        <v>10</v>
      </c>
      <c r="H17" t="s">
        <v>10</v>
      </c>
      <c r="I17" t="s">
        <v>10</v>
      </c>
      <c r="K17" s="5" t="str">
        <v>10007</v>
      </c>
    </row>
    <row r="18" spans="1:11" x14ac:dyDescent="0.2">
      <c r="A18" s="5" t="str">
        <v>10010</v>
      </c>
      <c r="B18" t="s">
        <v>10</v>
      </c>
      <c r="C18" t="s">
        <v>10</v>
      </c>
      <c r="D18" s="5" t="str">
        <v>10003</v>
      </c>
      <c r="E18" t="s">
        <v>10</v>
      </c>
      <c r="F18" t="s">
        <v>10</v>
      </c>
      <c r="H18" t="s">
        <v>10</v>
      </c>
      <c r="I18" t="s">
        <v>10</v>
      </c>
      <c r="K18" s="5" t="str">
        <v>10001</v>
      </c>
    </row>
    <row r="19" spans="1:11" x14ac:dyDescent="0.2">
      <c r="A19" s="5" t="str">
        <v/>
      </c>
      <c r="B19" t="s">
        <v>10</v>
      </c>
      <c r="C19" t="s">
        <v>10</v>
      </c>
      <c r="D19" s="5" t="str">
        <v/>
      </c>
      <c r="E19" t="s">
        <v>10</v>
      </c>
      <c r="F19" t="s">
        <v>10</v>
      </c>
      <c r="H19" t="s">
        <v>10</v>
      </c>
      <c r="I19" t="s">
        <v>10</v>
      </c>
      <c r="K19" s="5" t="str">
        <v>10003</v>
      </c>
    </row>
    <row r="20" spans="1:11" x14ac:dyDescent="0.2">
      <c r="A20" s="5" t="str">
        <v/>
      </c>
      <c r="B20" t="s">
        <v>10</v>
      </c>
      <c r="C20" t="s">
        <v>10</v>
      </c>
      <c r="D20" s="5" t="str">
        <v/>
      </c>
      <c r="E20" t="s">
        <v>10</v>
      </c>
      <c r="F20" t="s">
        <v>10</v>
      </c>
      <c r="H20" t="s">
        <v>10</v>
      </c>
      <c r="I20" t="s">
        <v>10</v>
      </c>
      <c r="K20" s="5" t="str">
        <v/>
      </c>
    </row>
    <row r="21" spans="1:11" x14ac:dyDescent="0.2">
      <c r="A21" s="5" t="str">
        <v/>
      </c>
      <c r="B21" t="s">
        <v>10</v>
      </c>
      <c r="C21" t="s">
        <v>10</v>
      </c>
      <c r="D21" s="5" t="str">
        <v/>
      </c>
      <c r="E21" t="s">
        <v>10</v>
      </c>
      <c r="F21" t="s">
        <v>10</v>
      </c>
      <c r="H21" t="s">
        <v>10</v>
      </c>
      <c r="I21" t="s">
        <v>10</v>
      </c>
      <c r="K21" s="5" t="str">
        <v/>
      </c>
    </row>
    <row r="22" spans="1:11" x14ac:dyDescent="0.2">
      <c r="A22" s="5" t="str">
        <v/>
      </c>
      <c r="B22" t="s">
        <v>10</v>
      </c>
      <c r="C22" t="s">
        <v>10</v>
      </c>
      <c r="D22" s="5" t="str">
        <v/>
      </c>
      <c r="E22" t="s">
        <v>10</v>
      </c>
      <c r="F22" t="s">
        <v>10</v>
      </c>
      <c r="H22" t="s">
        <v>10</v>
      </c>
      <c r="I22" t="s">
        <v>10</v>
      </c>
      <c r="K22" s="5" t="str">
        <v/>
      </c>
    </row>
    <row r="23" spans="1:11" x14ac:dyDescent="0.2">
      <c r="A23" s="5" t="str">
        <v/>
      </c>
      <c r="B23" t="s">
        <v>10</v>
      </c>
      <c r="C23" t="s">
        <v>10</v>
      </c>
      <c r="D23" s="5" t="str">
        <v/>
      </c>
      <c r="E23" t="s">
        <v>10</v>
      </c>
      <c r="F23" t="s">
        <v>10</v>
      </c>
      <c r="H23" t="s">
        <v>10</v>
      </c>
      <c r="I23" t="s">
        <v>10</v>
      </c>
      <c r="K23" s="5" t="str">
        <v/>
      </c>
    </row>
    <row r="25" spans="1:11" x14ac:dyDescent="0.2">
      <c r="A25" s="1" t="s">
        <v>15</v>
      </c>
      <c r="F25" s="1" t="s">
        <v>16</v>
      </c>
    </row>
    <row r="26" spans="1:11" x14ac:dyDescent="0.2">
      <c r="A26" s="7" t="s">
        <v>1</v>
      </c>
      <c r="B26" s="7" t="s">
        <v>2</v>
      </c>
      <c r="C26" s="7"/>
      <c r="D26" s="7"/>
      <c r="F26" s="7" t="s">
        <v>2</v>
      </c>
      <c r="G26" s="7" t="s">
        <v>1</v>
      </c>
      <c r="H26" s="7"/>
      <c r="I26" s="7"/>
    </row>
    <row r="27" spans="1:11" x14ac:dyDescent="0.2">
      <c r="A27" s="5" t="str">
        <f t="array" ref="A27:D37">TableLookup($A$1:$D$10,$A$26:$D$26,TRUE,$F$2,$G$2,$F$3,$G$3)</f>
        <v>New York</v>
      </c>
      <c r="B27" s="6" t="str">
        <v>Albany</v>
      </c>
      <c r="C27" s="6" t="str">
        <v/>
      </c>
      <c r="D27" s="6" t="str">
        <v/>
      </c>
      <c r="E27" s="8"/>
      <c r="F27" s="5" t="str">
        <f t="array" ref="F27:I37">TableLookup($A$1:$D$10,$F$26:$I$26,FALSE,$F$2,$G$2,$F$3,$G$3)</f>
        <v>Albany</v>
      </c>
      <c r="G27" s="6" t="str">
        <v>New York</v>
      </c>
      <c r="H27" s="6" t="str">
        <v/>
      </c>
      <c r="I27" s="6" t="str">
        <v/>
      </c>
    </row>
    <row r="28" spans="1:11" x14ac:dyDescent="0.2">
      <c r="A28" s="5" t="str">
        <v>New York</v>
      </c>
      <c r="B28" s="6" t="str">
        <v>Buffalo</v>
      </c>
      <c r="C28" s="6" t="str">
        <v/>
      </c>
      <c r="D28" s="6" t="str">
        <v/>
      </c>
      <c r="E28" s="8"/>
      <c r="F28" s="5" t="str">
        <v>Buffalo</v>
      </c>
      <c r="G28" s="6" t="str">
        <v>New York</v>
      </c>
      <c r="H28" s="6" t="str">
        <v/>
      </c>
      <c r="I28" s="6" t="str">
        <v/>
      </c>
    </row>
    <row r="29" spans="1:11" x14ac:dyDescent="0.2">
      <c r="A29" s="5" t="str">
        <v/>
      </c>
      <c r="B29" s="6" t="str">
        <v/>
      </c>
      <c r="C29" s="6" t="str">
        <v/>
      </c>
      <c r="D29" s="6" t="str">
        <v/>
      </c>
      <c r="E29" s="8"/>
      <c r="F29" s="5" t="str">
        <v>Albany</v>
      </c>
      <c r="G29" s="6" t="str">
        <v>New York</v>
      </c>
      <c r="H29" s="6" t="str">
        <v/>
      </c>
      <c r="I29" s="6" t="str">
        <v/>
      </c>
    </row>
    <row r="30" spans="1:11" x14ac:dyDescent="0.2">
      <c r="A30" s="5" t="str">
        <v/>
      </c>
      <c r="B30" s="6" t="str">
        <v/>
      </c>
      <c r="C30" s="6" t="str">
        <v/>
      </c>
      <c r="D30" s="6" t="str">
        <v/>
      </c>
      <c r="E30" s="8"/>
      <c r="F30" s="5" t="str">
        <v>Albany</v>
      </c>
      <c r="G30" s="6" t="str">
        <v>New York</v>
      </c>
      <c r="H30" s="6" t="str">
        <v/>
      </c>
      <c r="I30" s="6" t="str">
        <v/>
      </c>
    </row>
    <row r="31" spans="1:11" x14ac:dyDescent="0.2">
      <c r="A31" s="5" t="str">
        <v/>
      </c>
      <c r="B31" s="6" t="str">
        <v/>
      </c>
      <c r="C31" s="6" t="str">
        <v/>
      </c>
      <c r="D31" s="6" t="str">
        <v/>
      </c>
      <c r="E31" s="8"/>
      <c r="F31" s="5" t="str">
        <v>Buffalo</v>
      </c>
      <c r="G31" s="6" t="str">
        <v>New York</v>
      </c>
      <c r="H31" s="6" t="str">
        <v/>
      </c>
      <c r="I31" s="6" t="str">
        <v/>
      </c>
    </row>
    <row r="32" spans="1:11" x14ac:dyDescent="0.2">
      <c r="A32" s="5" t="str">
        <v/>
      </c>
      <c r="B32" s="6" t="str">
        <v/>
      </c>
      <c r="C32" s="6" t="str">
        <v/>
      </c>
      <c r="D32" s="6" t="str">
        <v/>
      </c>
      <c r="E32" s="8"/>
      <c r="F32" s="5" t="str">
        <v>Albany</v>
      </c>
      <c r="G32" s="6" t="str">
        <v>New York</v>
      </c>
      <c r="H32" s="6" t="str">
        <v/>
      </c>
      <c r="I32" s="6" t="str">
        <v/>
      </c>
    </row>
    <row r="33" spans="1:9" x14ac:dyDescent="0.2">
      <c r="A33" s="5" t="str">
        <v/>
      </c>
      <c r="B33" s="6" t="str">
        <v/>
      </c>
      <c r="C33" s="6" t="str">
        <v/>
      </c>
      <c r="D33" s="6" t="str">
        <v/>
      </c>
      <c r="E33" s="8"/>
      <c r="F33" s="5" t="str">
        <v>Buffalo</v>
      </c>
      <c r="G33" s="6" t="str">
        <v>New York</v>
      </c>
      <c r="H33" s="6" t="str">
        <v/>
      </c>
      <c r="I33" s="6" t="str">
        <v/>
      </c>
    </row>
    <row r="34" spans="1:9" x14ac:dyDescent="0.2">
      <c r="A34" s="5" t="str">
        <v/>
      </c>
      <c r="B34" s="6" t="str">
        <v/>
      </c>
      <c r="C34" s="6" t="str">
        <v/>
      </c>
      <c r="D34" s="6" t="str">
        <v/>
      </c>
      <c r="E34" s="8"/>
      <c r="F34" s="5" t="str">
        <v/>
      </c>
      <c r="G34" s="6" t="str">
        <v/>
      </c>
      <c r="H34" s="6" t="str">
        <v/>
      </c>
      <c r="I34" s="6" t="str">
        <v/>
      </c>
    </row>
    <row r="35" spans="1:9" x14ac:dyDescent="0.2">
      <c r="A35" s="5" t="str">
        <v/>
      </c>
      <c r="B35" s="6" t="str">
        <v/>
      </c>
      <c r="C35" s="6" t="str">
        <v/>
      </c>
      <c r="D35" s="6" t="str">
        <v/>
      </c>
      <c r="E35" s="8"/>
      <c r="F35" s="5" t="str">
        <v/>
      </c>
      <c r="G35" s="6" t="str">
        <v/>
      </c>
      <c r="H35" s="6" t="str">
        <v/>
      </c>
      <c r="I35" s="6" t="str">
        <v/>
      </c>
    </row>
    <row r="36" spans="1:9" x14ac:dyDescent="0.2">
      <c r="A36" s="5" t="str">
        <v/>
      </c>
      <c r="B36" s="6" t="str">
        <v/>
      </c>
      <c r="C36" s="6" t="str">
        <v/>
      </c>
      <c r="D36" s="6" t="str">
        <v/>
      </c>
      <c r="E36" s="8"/>
      <c r="F36" s="5" t="str">
        <v/>
      </c>
      <c r="G36" s="6" t="str">
        <v/>
      </c>
      <c r="H36" s="6" t="str">
        <v/>
      </c>
      <c r="I36" s="6" t="str">
        <v/>
      </c>
    </row>
    <row r="37" spans="1:9" x14ac:dyDescent="0.2">
      <c r="A37" s="5" t="str">
        <v/>
      </c>
      <c r="B37" s="6" t="str">
        <v/>
      </c>
      <c r="C37" s="6" t="str">
        <v/>
      </c>
      <c r="D37" s="6" t="str">
        <v/>
      </c>
      <c r="E37" s="8"/>
      <c r="F37" s="5" t="str">
        <v/>
      </c>
      <c r="G37" s="6" t="str">
        <v/>
      </c>
      <c r="H37" s="6" t="str">
        <v/>
      </c>
      <c r="I37" s="6" t="str">
        <v/>
      </c>
    </row>
    <row r="39" spans="1:9" x14ac:dyDescent="0.2">
      <c r="A39" s="1" t="s">
        <v>17</v>
      </c>
    </row>
    <row r="40" spans="1:9" x14ac:dyDescent="0.2">
      <c r="A40" s="5" t="str">
        <f t="array" ref="A40:A50">MultiLookup("Data",$A$1,TRUE,TRUE,$F$2,$G$2,$F$3,$G$3,$F$4,$G$4)</f>
        <v>10001</v>
      </c>
      <c r="B40" t="s">
        <v>10</v>
      </c>
      <c r="C40" t="s">
        <v>10</v>
      </c>
    </row>
    <row r="41" spans="1:9" x14ac:dyDescent="0.2">
      <c r="A41" s="5" t="str">
        <v>10002</v>
      </c>
      <c r="B41" t="s">
        <v>10</v>
      </c>
      <c r="C41" t="s">
        <v>10</v>
      </c>
    </row>
    <row r="42" spans="1:9" x14ac:dyDescent="0.2">
      <c r="A42" s="5" t="str">
        <v>10003</v>
      </c>
      <c r="B42" t="s">
        <v>10</v>
      </c>
      <c r="C42" t="s">
        <v>10</v>
      </c>
    </row>
    <row r="43" spans="1:9" x14ac:dyDescent="0.2">
      <c r="A43" s="5" t="str">
        <v>10004</v>
      </c>
      <c r="B43" t="s">
        <v>10</v>
      </c>
      <c r="C43" t="s">
        <v>10</v>
      </c>
    </row>
    <row r="44" spans="1:9" x14ac:dyDescent="0.2">
      <c r="A44" s="5" t="str">
        <v>10007</v>
      </c>
      <c r="B44" t="s">
        <v>10</v>
      </c>
      <c r="C44" t="s">
        <v>10</v>
      </c>
    </row>
    <row r="45" spans="1:9" x14ac:dyDescent="0.2">
      <c r="A45" s="5" t="str">
        <v>10009</v>
      </c>
      <c r="B45" t="s">
        <v>10</v>
      </c>
      <c r="C45" t="s">
        <v>10</v>
      </c>
    </row>
    <row r="46" spans="1:9" x14ac:dyDescent="0.2">
      <c r="A46" s="5" t="str">
        <v>10010</v>
      </c>
      <c r="B46" t="s">
        <v>10</v>
      </c>
      <c r="C46" t="s">
        <v>10</v>
      </c>
    </row>
    <row r="47" spans="1:9" x14ac:dyDescent="0.2">
      <c r="A47" s="5" t="str">
        <v/>
      </c>
      <c r="B47" t="s">
        <v>10</v>
      </c>
      <c r="C47" t="s">
        <v>10</v>
      </c>
    </row>
    <row r="48" spans="1:9" x14ac:dyDescent="0.2">
      <c r="A48" s="5" t="str">
        <v/>
      </c>
      <c r="B48" t="s">
        <v>10</v>
      </c>
      <c r="C48" t="s">
        <v>10</v>
      </c>
    </row>
    <row r="49" spans="1:6" x14ac:dyDescent="0.2">
      <c r="A49" s="5" t="str">
        <v/>
      </c>
      <c r="B49" t="s">
        <v>10</v>
      </c>
      <c r="C49" t="s">
        <v>10</v>
      </c>
    </row>
    <row r="50" spans="1:6" x14ac:dyDescent="0.2">
      <c r="A50" s="5" t="str">
        <v/>
      </c>
      <c r="B50" t="s">
        <v>10</v>
      </c>
      <c r="C50" t="s">
        <v>10</v>
      </c>
    </row>
    <row r="52" spans="1:6" x14ac:dyDescent="0.2">
      <c r="A52" s="1" t="s">
        <v>18</v>
      </c>
    </row>
    <row r="53" spans="1:6" x14ac:dyDescent="0.2">
      <c r="A53" s="7" t="s">
        <v>2</v>
      </c>
      <c r="B53" s="7" t="s">
        <v>11</v>
      </c>
      <c r="C53" s="7"/>
      <c r="D53" s="7"/>
    </row>
    <row r="54" spans="1:6" x14ac:dyDescent="0.2">
      <c r="A54" s="5" t="str">
        <f t="array" ref="A54:D64">TableLookup("Data",A53:D53,TRUE,$F$2,$G$2,$F$3,$G$3)</f>
        <v>Albany</v>
      </c>
      <c r="B54" s="6">
        <v>10001</v>
      </c>
      <c r="C54" s="6" t="str">
        <v/>
      </c>
      <c r="D54" s="6" t="str">
        <v/>
      </c>
      <c r="E54" t="s">
        <v>10</v>
      </c>
      <c r="F54" t="s">
        <v>10</v>
      </c>
    </row>
    <row r="55" spans="1:6" x14ac:dyDescent="0.2">
      <c r="A55" s="5" t="str">
        <v>Buffalo</v>
      </c>
      <c r="B55" s="6">
        <v>10002</v>
      </c>
      <c r="C55" s="6" t="str">
        <v/>
      </c>
      <c r="D55" s="6" t="str">
        <v/>
      </c>
      <c r="E55" t="s">
        <v>10</v>
      </c>
      <c r="F55" t="s">
        <v>10</v>
      </c>
    </row>
    <row r="56" spans="1:6" x14ac:dyDescent="0.2">
      <c r="A56" s="5" t="str">
        <v>Albany</v>
      </c>
      <c r="B56" s="6">
        <v>10003</v>
      </c>
      <c r="C56" s="6" t="str">
        <v/>
      </c>
      <c r="D56" s="6" t="str">
        <v/>
      </c>
      <c r="E56" t="s">
        <v>10</v>
      </c>
      <c r="F56" t="s">
        <v>10</v>
      </c>
    </row>
    <row r="57" spans="1:6" x14ac:dyDescent="0.2">
      <c r="A57" s="5" t="str">
        <v>Albany</v>
      </c>
      <c r="B57" s="6">
        <v>10004</v>
      </c>
      <c r="C57" s="6" t="str">
        <v/>
      </c>
      <c r="D57" s="6" t="str">
        <v/>
      </c>
      <c r="E57" t="s">
        <v>10</v>
      </c>
      <c r="F57" t="s">
        <v>10</v>
      </c>
    </row>
    <row r="58" spans="1:6" x14ac:dyDescent="0.2">
      <c r="A58" s="5" t="str">
        <v>Buffalo</v>
      </c>
      <c r="B58" s="6">
        <v>10007</v>
      </c>
      <c r="C58" s="6" t="str">
        <v/>
      </c>
      <c r="D58" s="6" t="str">
        <v/>
      </c>
      <c r="E58" t="s">
        <v>10</v>
      </c>
      <c r="F58" t="s">
        <v>10</v>
      </c>
    </row>
    <row r="59" spans="1:6" x14ac:dyDescent="0.2">
      <c r="A59" s="5" t="str">
        <v>Buffalo</v>
      </c>
      <c r="B59" s="6">
        <v>10009</v>
      </c>
      <c r="C59" s="6" t="str">
        <v/>
      </c>
      <c r="D59" s="6" t="str">
        <v/>
      </c>
      <c r="E59" t="s">
        <v>10</v>
      </c>
      <c r="F59" t="s">
        <v>10</v>
      </c>
    </row>
    <row r="60" spans="1:6" x14ac:dyDescent="0.2">
      <c r="A60" s="5" t="str">
        <v>Buffalo</v>
      </c>
      <c r="B60" s="6">
        <v>10010</v>
      </c>
      <c r="C60" s="6" t="str">
        <v/>
      </c>
      <c r="D60" s="6" t="str">
        <v/>
      </c>
      <c r="E60" t="s">
        <v>10</v>
      </c>
      <c r="F60" t="s">
        <v>10</v>
      </c>
    </row>
    <row r="61" spans="1:6" x14ac:dyDescent="0.2">
      <c r="A61" s="5" t="str">
        <v/>
      </c>
      <c r="B61" s="6" t="str">
        <v/>
      </c>
      <c r="C61" s="6" t="str">
        <v/>
      </c>
      <c r="D61" s="6" t="str">
        <v/>
      </c>
      <c r="E61" t="s">
        <v>10</v>
      </c>
      <c r="F61" t="s">
        <v>10</v>
      </c>
    </row>
    <row r="62" spans="1:6" x14ac:dyDescent="0.2">
      <c r="A62" s="5" t="str">
        <v/>
      </c>
      <c r="B62" s="6" t="str">
        <v/>
      </c>
      <c r="C62" s="6" t="str">
        <v/>
      </c>
      <c r="D62" s="6" t="str">
        <v/>
      </c>
      <c r="E62" t="s">
        <v>10</v>
      </c>
      <c r="F62" t="s">
        <v>10</v>
      </c>
    </row>
    <row r="63" spans="1:6" x14ac:dyDescent="0.2">
      <c r="A63" s="5" t="str">
        <v/>
      </c>
      <c r="B63" s="6" t="str">
        <v/>
      </c>
      <c r="C63" s="6" t="str">
        <v/>
      </c>
      <c r="D63" s="6" t="str">
        <v/>
      </c>
      <c r="E63" t="s">
        <v>10</v>
      </c>
      <c r="F63" t="s">
        <v>10</v>
      </c>
    </row>
    <row r="64" spans="1:6" x14ac:dyDescent="0.2">
      <c r="A64" s="5" t="str">
        <v/>
      </c>
      <c r="B64" s="6" t="str">
        <v/>
      </c>
      <c r="C64" s="6" t="str">
        <v/>
      </c>
      <c r="D64" s="6" t="str">
        <v/>
      </c>
      <c r="E64" t="s">
        <v>10</v>
      </c>
      <c r="F64" t="s">
        <v>10</v>
      </c>
    </row>
  </sheetData>
  <dataValidations count="1">
    <dataValidation type="list" allowBlank="1" showInputMessage="1" sqref="F2:F4 A26:D26 A53:D53 F26:I26">
      <formula1>$A$1:$D$1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showGridLines="0" zoomScale="80" zoomScaleNormal="80" workbookViewId="0"/>
  </sheetViews>
  <sheetFormatPr defaultColWidth="10.7109375" defaultRowHeight="12.75" x14ac:dyDescent="0.2"/>
  <cols>
    <col min="1" max="4" width="15.85546875" customWidth="1"/>
    <col min="6" max="6" width="15.85546875" bestFit="1" customWidth="1"/>
  </cols>
  <sheetData>
    <row r="1" spans="1:4" x14ac:dyDescent="0.2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">
      <c r="A2" s="2">
        <v>10001</v>
      </c>
      <c r="B2" t="s">
        <v>4</v>
      </c>
      <c r="C2" t="s">
        <v>5</v>
      </c>
      <c r="D2">
        <v>4</v>
      </c>
    </row>
    <row r="3" spans="1:4" x14ac:dyDescent="0.2">
      <c r="A3" s="2">
        <v>10002</v>
      </c>
      <c r="B3" t="s">
        <v>4</v>
      </c>
      <c r="C3" t="s">
        <v>6</v>
      </c>
      <c r="D3">
        <v>10</v>
      </c>
    </row>
    <row r="4" spans="1:4" x14ac:dyDescent="0.2">
      <c r="A4" s="2">
        <v>10003</v>
      </c>
      <c r="B4" t="s">
        <v>4</v>
      </c>
      <c r="C4" t="s">
        <v>5</v>
      </c>
      <c r="D4">
        <v>15</v>
      </c>
    </row>
    <row r="5" spans="1:4" x14ac:dyDescent="0.2">
      <c r="A5" s="2">
        <v>10004</v>
      </c>
      <c r="B5" t="s">
        <v>4</v>
      </c>
      <c r="C5" t="s">
        <v>5</v>
      </c>
      <c r="D5">
        <v>32</v>
      </c>
    </row>
    <row r="6" spans="1:4" x14ac:dyDescent="0.2">
      <c r="A6" s="2">
        <v>10005</v>
      </c>
      <c r="B6" t="s">
        <v>7</v>
      </c>
      <c r="C6" t="s">
        <v>8</v>
      </c>
      <c r="D6">
        <v>23</v>
      </c>
    </row>
    <row r="7" spans="1:4" x14ac:dyDescent="0.2">
      <c r="A7" s="2">
        <v>10007</v>
      </c>
      <c r="B7" t="s">
        <v>4</v>
      </c>
      <c r="C7" t="s">
        <v>6</v>
      </c>
      <c r="D7">
        <v>2</v>
      </c>
    </row>
    <row r="8" spans="1:4" x14ac:dyDescent="0.2">
      <c r="A8" s="2">
        <v>10008</v>
      </c>
      <c r="B8" t="s">
        <v>7</v>
      </c>
      <c r="C8" t="s">
        <v>8</v>
      </c>
      <c r="D8">
        <v>2</v>
      </c>
    </row>
    <row r="9" spans="1:4" x14ac:dyDescent="0.2">
      <c r="A9" s="2">
        <v>10009</v>
      </c>
      <c r="B9" t="s">
        <v>4</v>
      </c>
      <c r="C9" t="s">
        <v>6</v>
      </c>
      <c r="D9">
        <v>42</v>
      </c>
    </row>
    <row r="10" spans="1:4" x14ac:dyDescent="0.2">
      <c r="A10" s="2">
        <v>10010</v>
      </c>
      <c r="B10" t="s">
        <v>4</v>
      </c>
      <c r="C10" t="s">
        <v>6</v>
      </c>
      <c r="D10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vbahero</dc:creator>
  <cp:lastModifiedBy>Terra, Andy (1/24/19)</cp:lastModifiedBy>
  <dcterms:created xsi:type="dcterms:W3CDTF">2018-05-01T02:24:32Z</dcterms:created>
  <dcterms:modified xsi:type="dcterms:W3CDTF">2019-01-25T04:15:25Z</dcterms:modified>
</cp:coreProperties>
</file>